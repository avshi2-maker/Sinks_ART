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13 - סגור" sheetId="1" state="visible" r:id="rId3"/>
    <sheet name="295 - שלוש אפשרויות" sheetId="2" state="visible" r:id="rId4"/>
    <sheet name="סיכום לזיו + הנחה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<sst xmlns="http://schemas.openxmlformats.org/spreadsheetml/2006/main" count="47" uniqueCount="47">
  <si>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כיור 2.13 — עסקה סגורה (נשלח לזיו, אלס אישר)</t>
  </si>
  <si>
    <t xml:space="preserve">הצעת אלס (וואטסאפ 15.6, מאושר) — כולל חומר + מע"מ</t>
  </si>
  <si>
    <r>
      <rPr>
        <sz val="11"/>
        <color theme="1"/>
        <rFont val="FreeSans"/>
        <family val="2"/>
      </rPr>
      <t xml:space="preserve">מחיר בסיס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כולל חומר</t>
    </r>
    <r>
      <rPr>
        <sz val="11"/>
        <color theme="1"/>
        <rFont val="Calibri"/>
        <family val="2"/>
        <charset val="1"/>
      </rPr>
      <t xml:space="preserve">)</t>
    </r>
  </si>
  <si>
    <t xml:space="preserve">סיפון ופופאפ</t>
  </si>
  <si>
    <t xml:space="preserve">התקנה עם מתקן</t>
  </si>
  <si>
    <t xml:space="preserve">הובלה תל אביב</t>
  </si>
  <si>
    <t xml:space="preserve">סה"כ אלס (גלובלי)</t>
  </si>
  <si>
    <r>
      <rPr>
        <sz val="11"/>
        <color theme="1"/>
        <rFont val="FreeSans"/>
        <family val="2"/>
      </rPr>
      <t xml:space="preserve">עמלת </t>
    </r>
    <r>
      <rPr>
        <sz val="11"/>
        <color theme="1"/>
        <rFont val="Calibri"/>
        <family val="2"/>
        <charset val="1"/>
      </rPr>
      <t xml:space="preserve">Marble Art (</t>
    </r>
    <r>
      <rPr>
        <sz val="11"/>
        <color theme="1"/>
        <rFont val="FreeSans"/>
        <family val="2"/>
      </rPr>
      <t xml:space="preserve">קבוע</t>
    </r>
    <r>
      <rPr>
        <sz val="11"/>
        <color theme="1"/>
        <rFont val="Calibri"/>
        <family val="2"/>
        <charset val="1"/>
      </rPr>
      <t xml:space="preserve">)</t>
    </r>
  </si>
  <si>
    <t xml:space="preserve">מחיר לזיו (נשלח!) — כולל מע"מ</t>
  </si>
  <si>
    <t xml:space="preserve">הערה: חומר 12מ"מ כפול כלול במחיר אלס. חישוב הייחוס שלנו לחומר 213: ₪3,852 (3 לוחות).</t>
  </si>
  <si>
    <t xml:space="preserve">כיור 2.95 — מי משלם לטרבלסי? שלושה תרחישים</t>
  </si>
  <si>
    <t xml:space="preserve">נתוני בסיס</t>
  </si>
  <si>
    <r>
      <rPr>
        <sz val="11"/>
        <color theme="1"/>
        <rFont val="FreeSans"/>
        <family val="2"/>
      </rPr>
      <t xml:space="preserve">אלס — עבודה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FreeSans"/>
        <family val="2"/>
      </rPr>
      <t xml:space="preserve">תקורה</t>
    </r>
  </si>
  <si>
    <t xml:space="preserve">אלס — סיפון</t>
  </si>
  <si>
    <t xml:space="preserve">אלס — הרכבה על קיר</t>
  </si>
  <si>
    <r>
      <rPr>
        <sz val="11"/>
        <color theme="1"/>
        <rFont val="FreeSans"/>
        <family val="2"/>
      </rPr>
      <t xml:space="preserve">אלס — הובלה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טריילר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לת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א</t>
    </r>
  </si>
  <si>
    <r>
      <rPr>
        <sz val="11"/>
        <color theme="1"/>
        <rFont val="FreeSans"/>
        <family val="2"/>
      </rPr>
      <t xml:space="preserve">טרבלסי — חומר </t>
    </r>
    <r>
      <rPr>
        <sz val="11"/>
        <color theme="1"/>
        <rFont val="Calibri"/>
        <family val="2"/>
        <charset val="1"/>
      </rPr>
      <t xml:space="preserve">(xlsx </t>
    </r>
    <r>
      <rPr>
        <sz val="11"/>
        <color theme="1"/>
        <rFont val="FreeSans"/>
        <family val="2"/>
      </rPr>
      <t xml:space="preserve">מקורי</t>
    </r>
    <r>
      <rPr>
        <sz val="11"/>
        <color theme="1"/>
        <rFont val="Calibri"/>
        <family val="2"/>
        <charset val="1"/>
      </rPr>
      <t xml:space="preserve">)</t>
    </r>
  </si>
  <si>
    <t xml:space="preserve">טרבלסי — אריזת עץ</t>
  </si>
  <si>
    <t xml:space="preserve">טרבלסי — הובלה</t>
  </si>
  <si>
    <r>
      <rPr>
        <sz val="11"/>
        <color theme="1"/>
        <rFont val="FreeSans"/>
        <family val="2"/>
      </rPr>
      <t xml:space="preserve">חישוב חומר שלנו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מחשבון</t>
    </r>
    <r>
      <rPr>
        <sz val="11"/>
        <color theme="1"/>
        <rFont val="Calibri"/>
        <family val="2"/>
        <charset val="1"/>
      </rPr>
      <t xml:space="preserve">, 4 </t>
    </r>
    <r>
      <rPr>
        <sz val="11"/>
        <color theme="1"/>
        <rFont val="FreeSans"/>
        <family val="2"/>
      </rPr>
      <t xml:space="preserve">לוחות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</si>
  <si>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פרמיית אמנות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מה שהוקלד במנוע</t>
    </r>
    <r>
      <rPr>
        <sz val="11"/>
        <color theme="1"/>
        <rFont val="Calibri"/>
        <family val="2"/>
        <charset val="1"/>
      </rPr>
      <t xml:space="preserve">)</t>
    </r>
  </si>
  <si>
    <t xml:space="preserve">תרחיש</t>
  </si>
  <si>
    <t xml:space="preserve">א — אלס משלם לטרבלסי מתוך 15,000</t>
  </si>
  <si>
    <t xml:space="preserve">ב — אבשי משלם, הקווים חוזרים ללאמפ (18,609)</t>
  </si>
  <si>
    <t xml:space="preserve">ג — אבשי משלם, לאמפ 15,000 + חומר כעלות שלי</t>
  </si>
  <si>
    <r>
      <rPr>
        <sz val="11"/>
        <color theme="1"/>
        <rFont val="FreeSans"/>
        <family val="2"/>
      </rPr>
      <t xml:space="preserve">לאמפ אלס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עלות אמת במנוע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</si>
  <si>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עמלה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</si>
  <si>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FreeSans"/>
        <family val="2"/>
      </rPr>
      <t xml:space="preserve">הצעת בסיס </t>
    </r>
    <r>
      <rPr>
        <sz val="11"/>
        <color theme="1"/>
        <rFont val="Calibri"/>
        <family val="2"/>
        <charset val="1"/>
      </rPr>
      <t xml:space="preserve">XYZ</t>
    </r>
  </si>
  <si>
    <t xml:space="preserve">פרמיית אמנות</t>
  </si>
  <si>
    <t xml:space="preserve">מחיר לזיו UVW (כולל מע"מ)</t>
  </si>
  <si>
    <r>
      <rPr>
        <sz val="11"/>
        <color theme="1"/>
        <rFont val="FreeSans"/>
        <family val="2"/>
      </rPr>
      <t xml:space="preserve">חלק אבשי בפרמיה </t>
    </r>
    <r>
      <rPr>
        <sz val="11"/>
        <color theme="1"/>
        <rFont val="Calibri"/>
        <family val="2"/>
        <charset val="1"/>
      </rPr>
      <t xml:space="preserve">(50%)</t>
    </r>
  </si>
  <si>
    <r>
      <rPr>
        <sz val="11"/>
        <color theme="1"/>
        <rFont val="FreeSans"/>
        <family val="2"/>
      </rPr>
      <t xml:space="preserve">הכנסת אבשי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עמלה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FreeSans"/>
        <family val="2"/>
      </rPr>
      <t xml:space="preserve">פרמיה</t>
    </r>
    <r>
      <rPr>
        <sz val="11"/>
        <color theme="1"/>
        <rFont val="Calibri"/>
        <family val="2"/>
        <charset val="1"/>
      </rPr>
      <t xml:space="preserve">)</t>
    </r>
  </si>
  <si>
    <t xml:space="preserve">חומר שאבשי משלם לטרבלסי</t>
  </si>
  <si>
    <t xml:space="preserve">רווח אבשי נטו</t>
  </si>
  <si>
    <r>
      <rPr>
        <sz val="11"/>
        <color theme="1"/>
        <rFont val="FreeSans"/>
        <family val="2"/>
      </rPr>
      <t xml:space="preserve">הכנסת אלס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לאמפ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FreeSans"/>
        <family val="2"/>
      </rPr>
      <t xml:space="preserve">בונוס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</si>
  <si>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אלס משלם לטרבלסי</t>
    </r>
    <r>
      <rPr>
        <sz val="11"/>
        <color theme="1"/>
        <rFont val="Calibri"/>
        <family val="2"/>
        <charset val="1"/>
      </rPr>
      <t xml:space="preserve">?</t>
    </r>
  </si>
  <si>
    <t xml:space="preserve">אלס נטו</t>
  </si>
  <si>
    <t xml:space="preserve">שים לב: בתרחיש ג — רווח אבשי נטו שלילי! (עמלה+פרמיה 4,117 פחות חומר 4,613). בתרחיש א — אלס נטו יורד ל~12,250 לעומת 18,609 שאושר במקור.</t>
  </si>
  <si>
    <t xml:space="preserve">שני כיורים לזיו — סיכום + הנחת לוגיסטיקה משותפת</t>
  </si>
  <si>
    <r>
      <rPr>
        <sz val="11"/>
        <color theme="1"/>
        <rFont val="FreeSans"/>
        <family val="2"/>
      </rPr>
      <t xml:space="preserve">כיור </t>
    </r>
    <r>
      <rPr>
        <sz val="11"/>
        <color theme="1"/>
        <rFont val="Calibri"/>
        <family val="2"/>
        <charset val="1"/>
      </rPr>
      <t xml:space="preserve">2.13 (</t>
    </r>
    <r>
      <rPr>
        <sz val="11"/>
        <color theme="1"/>
        <rFont val="FreeSans"/>
        <family val="2"/>
      </rPr>
      <t xml:space="preserve">נשלח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</si>
  <si>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כיור </t>
    </r>
    <r>
      <rPr>
        <sz val="11"/>
        <color theme="1"/>
        <rFont val="Calibri"/>
        <family val="2"/>
        <charset val="1"/>
      </rPr>
      <t xml:space="preserve">2.95 (</t>
    </r>
    <r>
      <rPr>
        <sz val="11"/>
        <color theme="1"/>
        <rFont val="FreeSans"/>
        <family val="2"/>
      </rPr>
      <t xml:space="preserve">לפי התרחיש שתבחר</t>
    </r>
    <r>
      <rPr>
        <sz val="11"/>
        <color theme="1"/>
        <rFont val="Calibri"/>
        <family val="2"/>
        <charset val="1"/>
      </rPr>
      <t xml:space="preserve">)</t>
    </r>
  </si>
  <si>
    <t xml:space="preserve">סה"כ שני כיורים</t>
  </si>
  <si>
    <t xml:space="preserve">הנחת לוגיסטיקה משותפת (בהזמנת שני הכיורים):</t>
  </si>
  <si>
    <r>
      <rPr>
        <sz val="11"/>
        <color theme="1"/>
        <rFont val="FreeSans"/>
        <family val="2"/>
      </rPr>
      <t xml:space="preserve">חיסכון הובלת טרבלסי→אלס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משאית אחת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</si>
  <si>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חיסכון אספקה אלס→אתר ת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א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טריילר אחד</t>
    </r>
    <r>
      <rPr>
        <sz val="11"/>
        <color theme="1"/>
        <rFont val="Calibri"/>
        <family val="2"/>
        <charset val="1"/>
      </rPr>
      <t xml:space="preserve">)</t>
    </r>
  </si>
  <si>
    <t xml:space="preserve">סה"כ הנחה</t>
  </si>
  <si>
    <t xml:space="preserve">סה"כ לזיו אחרי הנחה (כולל מע"מ)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</si>
</sst>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₪&quot;;\(#,##0&quot; ₪)&quot;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FreeSans"/>
      <family val="2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4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2" t="n">
        <v>9000</v>
      </c>
    </row>
    <row r="5" customFormat="false" ht="15" hidden="false" customHeight="false" outlineLevel="0" collapsed="false">
      <c r="A5" s="4" t="s">
        <v>3</v>
      </c>
      <c r="B5" s="2" t="n">
        <v>800</v>
      </c>
    </row>
    <row r="6" customFormat="false" ht="15" hidden="false" customHeight="false" outlineLevel="0" collapsed="false">
      <c r="A6" s="4" t="s">
        <v>4</v>
      </c>
      <c r="B6" s="2" t="n">
        <v>1000</v>
      </c>
    </row>
    <row r="7" customFormat="false" ht="15" hidden="false" customHeight="false" outlineLevel="0" collapsed="false">
      <c r="A7" s="4" t="s">
        <v>5</v>
      </c>
      <c r="B7" s="2" t="n">
        <v>1000</v>
      </c>
    </row>
    <row r="8" customFormat="false" ht="15" hidden="false" customHeight="false" outlineLevel="0" collapsed="false">
      <c r="A8" s="3" t="s">
        <v>6</v>
      </c>
      <c r="B8" s="5" t="n">
        <f aca="false">SUM(B4:B7)</f>
        <v>11800</v>
      </c>
    </row>
    <row r="9" customFormat="false" ht="15" hidden="false" customHeight="false" outlineLevel="0" collapsed="false">
      <c r="A9" s="4" t="s">
        <v>7</v>
      </c>
      <c r="B9" s="2" t="n">
        <v>1000</v>
      </c>
    </row>
    <row r="10" customFormat="false" ht="15" hidden="false" customHeight="false" outlineLevel="0" collapsed="false">
      <c r="A10" s="6" t="s">
        <v>8</v>
      </c>
      <c r="B10" s="7" t="n">
        <f aca="false">B8+B9</f>
        <v>12800</v>
      </c>
    </row>
    <row r="12" customFormat="false" ht="15" hidden="false" customHeight="false" outlineLevel="0" collapsed="false">
      <c r="A12" s="8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4"/>
  </cols>
  <sheetData>
    <row r="1" customFormat="false" ht="17.15" hidden="false" customHeight="false" outlineLevel="0" collapsed="false">
      <c r="A1" s="1" t="s">
        <v>10</v>
      </c>
    </row>
    <row r="3" customFormat="false" ht="15" hidden="false" customHeight="false" outlineLevel="0" collapsed="false">
      <c r="A3" s="3" t="s">
        <v>11</v>
      </c>
    </row>
    <row r="4" customFormat="false" ht="15" hidden="false" customHeight="false" outlineLevel="0" collapsed="false">
      <c r="A4" s="4" t="s">
        <v>12</v>
      </c>
      <c r="B4" s="2" t="n">
        <v>12000</v>
      </c>
    </row>
    <row r="5" customFormat="false" ht="15" hidden="false" customHeight="false" outlineLevel="0" collapsed="false">
      <c r="A5" s="4" t="s">
        <v>13</v>
      </c>
      <c r="B5" s="2" t="n">
        <v>500</v>
      </c>
    </row>
    <row r="6" customFormat="false" ht="15" hidden="false" customHeight="false" outlineLevel="0" collapsed="false">
      <c r="A6" s="4" t="s">
        <v>14</v>
      </c>
      <c r="B6" s="2" t="n">
        <v>1000</v>
      </c>
    </row>
    <row r="7" customFormat="false" ht="15" hidden="false" customHeight="false" outlineLevel="0" collapsed="false">
      <c r="A7" s="4" t="s">
        <v>15</v>
      </c>
      <c r="B7" s="2" t="n">
        <v>1200</v>
      </c>
    </row>
    <row r="8" customFormat="false" ht="15" hidden="false" customHeight="false" outlineLevel="0" collapsed="false">
      <c r="A8" s="4" t="s">
        <v>16</v>
      </c>
      <c r="B8" s="2" t="n">
        <v>2579</v>
      </c>
    </row>
    <row r="9" customFormat="false" ht="15" hidden="false" customHeight="false" outlineLevel="0" collapsed="false">
      <c r="A9" s="4" t="s">
        <v>17</v>
      </c>
      <c r="B9" s="2" t="n">
        <v>980</v>
      </c>
    </row>
    <row r="10" customFormat="false" ht="15" hidden="false" customHeight="false" outlineLevel="0" collapsed="false">
      <c r="A10" s="4" t="s">
        <v>18</v>
      </c>
      <c r="B10" s="2" t="n">
        <v>350</v>
      </c>
    </row>
    <row r="11" customFormat="false" ht="15" hidden="false" customHeight="false" outlineLevel="0" collapsed="false">
      <c r="A11" s="4" t="s">
        <v>19</v>
      </c>
      <c r="B11" s="2" t="n">
        <v>4613</v>
      </c>
    </row>
    <row r="12" customFormat="false" ht="15" hidden="false" customHeight="false" outlineLevel="0" collapsed="false">
      <c r="A12" s="4" t="s">
        <v>20</v>
      </c>
      <c r="B12" s="2" t="n">
        <v>3733</v>
      </c>
    </row>
    <row r="15" customFormat="false" ht="39.55" hidden="false" customHeight="false" outlineLevel="0" collapsed="false">
      <c r="A15" s="9" t="s">
        <v>21</v>
      </c>
      <c r="B15" s="9" t="s">
        <v>22</v>
      </c>
      <c r="C15" s="9" t="s">
        <v>23</v>
      </c>
      <c r="D15" s="9" t="s">
        <v>24</v>
      </c>
    </row>
    <row r="16" customFormat="false" ht="15" hidden="false" customHeight="false" outlineLevel="0" collapsed="false">
      <c r="A16" s="10" t="s">
        <v>25</v>
      </c>
      <c r="B16" s="11" t="n">
        <f aca="false">SUM(B4:B7)</f>
        <v>14700</v>
      </c>
      <c r="C16" s="11" t="n">
        <f aca="false">SUM(B4:B10)</f>
        <v>18609</v>
      </c>
      <c r="D16" s="11" t="n">
        <f aca="false">SUM(B4:B7)</f>
        <v>14700</v>
      </c>
    </row>
    <row r="17" customFormat="false" ht="15" hidden="false" customHeight="false" outlineLevel="0" collapsed="false">
      <c r="A17" s="10" t="s">
        <v>26</v>
      </c>
      <c r="B17" s="11" t="n">
        <f aca="false">B16*0.15</f>
        <v>2205</v>
      </c>
      <c r="C17" s="11" t="n">
        <f aca="false">C16*0.15</f>
        <v>2791.35</v>
      </c>
      <c r="D17" s="11" t="n">
        <f aca="false">D16*0.15</f>
        <v>2205</v>
      </c>
    </row>
    <row r="18" customFormat="false" ht="15" hidden="false" customHeight="false" outlineLevel="0" collapsed="false">
      <c r="A18" s="10" t="s">
        <v>27</v>
      </c>
      <c r="B18" s="11" t="n">
        <f aca="false">B16+B17</f>
        <v>16905</v>
      </c>
      <c r="C18" s="11" t="n">
        <f aca="false">C16+C17</f>
        <v>21400.35</v>
      </c>
      <c r="D18" s="11" t="n">
        <f aca="false">D16+D17</f>
        <v>16905</v>
      </c>
    </row>
    <row r="19" customFormat="false" ht="15" hidden="false" customHeight="false" outlineLevel="0" collapsed="false">
      <c r="A19" s="10" t="s">
        <v>28</v>
      </c>
      <c r="B19" s="11" t="n">
        <f aca="false">$B$12</f>
        <v>3733</v>
      </c>
      <c r="C19" s="11" t="n">
        <f aca="false">$B$12</f>
        <v>3733</v>
      </c>
      <c r="D19" s="11" t="n">
        <f aca="false">$B$12</f>
        <v>3733</v>
      </c>
    </row>
    <row r="20" customFormat="false" ht="15" hidden="false" customHeight="false" outlineLevel="0" collapsed="false">
      <c r="A20" s="12" t="s">
        <v>29</v>
      </c>
      <c r="B20" s="13" t="n">
        <f aca="false">B18+B19</f>
        <v>20638</v>
      </c>
      <c r="C20" s="13" t="n">
        <f aca="false">C18+C19</f>
        <v>25133.35</v>
      </c>
      <c r="D20" s="13" t="n">
        <f aca="false">D18+D19</f>
        <v>20638</v>
      </c>
    </row>
    <row r="21" customFormat="false" ht="15" hidden="false" customHeight="false" outlineLevel="0" collapsed="false">
      <c r="A21" s="10" t="s">
        <v>30</v>
      </c>
      <c r="B21" s="11" t="n">
        <f aca="false">B19/2</f>
        <v>1866.5</v>
      </c>
      <c r="C21" s="11" t="n">
        <f aca="false">C19/2</f>
        <v>1866.5</v>
      </c>
      <c r="D21" s="11" t="n">
        <f aca="false">D19/2</f>
        <v>1866.5</v>
      </c>
    </row>
    <row r="22" customFormat="false" ht="15" hidden="false" customHeight="false" outlineLevel="0" collapsed="false">
      <c r="A22" s="10" t="s">
        <v>31</v>
      </c>
      <c r="B22" s="11" t="n">
        <f aca="false">B17+B21</f>
        <v>4071.5</v>
      </c>
      <c r="C22" s="11" t="n">
        <f aca="false">C17+C21</f>
        <v>4657.85</v>
      </c>
      <c r="D22" s="11" t="n">
        <f aca="false">D17+D21</f>
        <v>4071.5</v>
      </c>
    </row>
    <row r="23" customFormat="false" ht="15" hidden="false" customHeight="false" outlineLevel="0" collapsed="false">
      <c r="A23" s="10" t="s">
        <v>32</v>
      </c>
      <c r="B23" s="11" t="n">
        <v>0</v>
      </c>
      <c r="C23" s="11" t="n">
        <v>0</v>
      </c>
      <c r="D23" s="11" t="n">
        <f aca="false">B11</f>
        <v>4613</v>
      </c>
    </row>
    <row r="24" customFormat="false" ht="15" hidden="false" customHeight="false" outlineLevel="0" collapsed="false">
      <c r="A24" s="14" t="s">
        <v>33</v>
      </c>
      <c r="B24" s="15" t="n">
        <f aca="false">B22-B23</f>
        <v>4071.5</v>
      </c>
      <c r="C24" s="15" t="n">
        <f aca="false">C22-C23</f>
        <v>4657.85</v>
      </c>
      <c r="D24" s="15" t="n">
        <f aca="false">D22-D23</f>
        <v>-541.5</v>
      </c>
    </row>
    <row r="25" customFormat="false" ht="15" hidden="false" customHeight="false" outlineLevel="0" collapsed="false">
      <c r="A25" s="10" t="s">
        <v>34</v>
      </c>
      <c r="B25" s="11" t="n">
        <f aca="false">B16+B19/2</f>
        <v>16566.5</v>
      </c>
      <c r="C25" s="11" t="n">
        <f aca="false">C16+C19/2</f>
        <v>20475.5</v>
      </c>
      <c r="D25" s="11" t="n">
        <f aca="false">D16+D19/2</f>
        <v>16566.5</v>
      </c>
    </row>
    <row r="26" customFormat="false" ht="15" hidden="false" customHeight="false" outlineLevel="0" collapsed="false">
      <c r="A26" s="10" t="s">
        <v>35</v>
      </c>
      <c r="B26" s="11" t="n">
        <f aca="false">B11</f>
        <v>4613</v>
      </c>
      <c r="C26" s="11" t="n">
        <v>0</v>
      </c>
      <c r="D26" s="11" t="n">
        <v>0</v>
      </c>
    </row>
    <row r="27" customFormat="false" ht="15" hidden="false" customHeight="false" outlineLevel="0" collapsed="false">
      <c r="A27" s="14" t="s">
        <v>36</v>
      </c>
      <c r="B27" s="15" t="n">
        <f aca="false">B25-B26</f>
        <v>11953.5</v>
      </c>
      <c r="C27" s="15" t="n">
        <f aca="false">C25-C26</f>
        <v>20475.5</v>
      </c>
      <c r="D27" s="15" t="n">
        <f aca="false">D25-D26</f>
        <v>16566.5</v>
      </c>
    </row>
    <row r="29" customFormat="false" ht="23.85" hidden="false" customHeight="true" outlineLevel="0" collapsed="false">
      <c r="A29" s="16" t="s">
        <v>37</v>
      </c>
      <c r="B29" s="16"/>
      <c r="C29" s="16"/>
      <c r="D29" s="16"/>
    </row>
  </sheetData>
  <mergeCells count="1"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4"/>
  </cols>
  <sheetData>
    <row r="1" customFormat="false" ht="17.15" hidden="false" customHeight="false" outlineLevel="0" collapsed="false">
      <c r="A1" s="1" t="s">
        <v>38</v>
      </c>
    </row>
    <row r="3" customFormat="false" ht="15" hidden="false" customHeight="false" outlineLevel="0" collapsed="false">
      <c r="A3" s="4" t="s">
        <v>39</v>
      </c>
      <c r="B3" s="17" t="n">
        <f aca="false">'213 - סגור'!B10</f>
        <v>12800</v>
      </c>
    </row>
    <row r="4" customFormat="false" ht="15" hidden="false" customHeight="false" outlineLevel="0" collapsed="false">
      <c r="A4" s="4" t="s">
        <v>40</v>
      </c>
      <c r="B4" s="18" t="n">
        <v>20983</v>
      </c>
    </row>
    <row r="5" customFormat="false" ht="15" hidden="false" customHeight="false" outlineLevel="0" collapsed="false">
      <c r="A5" s="3" t="s">
        <v>41</v>
      </c>
      <c r="B5" s="5" t="n">
        <f aca="false">B3+B4</f>
        <v>33783</v>
      </c>
    </row>
    <row r="7" customFormat="false" ht="15" hidden="false" customHeight="false" outlineLevel="0" collapsed="false">
      <c r="A7" s="3" t="s">
        <v>42</v>
      </c>
    </row>
    <row r="8" customFormat="false" ht="15" hidden="false" customHeight="false" outlineLevel="0" collapsed="false">
      <c r="A8" s="4" t="s">
        <v>43</v>
      </c>
      <c r="B8" s="2" t="n">
        <v>350</v>
      </c>
    </row>
    <row r="9" customFormat="false" ht="15" hidden="false" customHeight="false" outlineLevel="0" collapsed="false">
      <c r="A9" s="4" t="s">
        <v>44</v>
      </c>
      <c r="B9" s="2" t="n">
        <v>1000</v>
      </c>
    </row>
    <row r="10" customFormat="false" ht="15" hidden="false" customHeight="false" outlineLevel="0" collapsed="false">
      <c r="A10" s="3" t="s">
        <v>45</v>
      </c>
      <c r="B10" s="5" t="n">
        <f aca="false">B8+B9</f>
        <v>1350</v>
      </c>
    </row>
    <row r="11" customFormat="false" ht="15" hidden="false" customHeight="false" outlineLevel="0" collapsed="false">
      <c r="A11" s="6" t="s">
        <v>46</v>
      </c>
      <c r="B11" s="19" t="n">
        <f aca="false">B5-B10</f>
        <v>32433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2026-07-05T08:10:34Z</dcterms:created>
  <dc:creator>openpyxl</dc:creator>
  <dc:description/>
  <dc:language>en-US</dc:language>
  <cp:lastModifiedBy/>
  <dcterms:modified xsi:type="dcterms:W3CDTF">2026-07-05T08:10:34Z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