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3 - סגור" sheetId="1" state="visible" r:id="rId3"/>
    <sheet name="295 - סופי" sheetId="2" state="visible" r:id="rId4"/>
    <sheet name="סיכום לזיו + הנח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<sst xmlns="http://schemas.openxmlformats.org/spreadsheetml/2006/main" count="34" uniqueCount="34">
  <si>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כיור 2.13 — עסקה סגורה (נשלח לזיו, אלס אישר)</t>
  </si>
  <si>
    <r>
      <rPr>
        <sz val="11"/>
        <color theme="1"/>
        <rFont val="FreeSans"/>
        <family val="2"/>
      </rPr>
      <t xml:space="preserve">מחיר בסיס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כולל חומר</t>
    </r>
    <r>
      <rPr>
        <sz val="11"/>
        <color theme="1"/>
        <rFont val="Calibri"/>
        <family val="2"/>
        <charset val="1"/>
      </rPr>
      <t xml:space="preserve">)</t>
    </r>
  </si>
  <si>
    <t xml:space="preserve">סיפון ופופאפ</t>
  </si>
  <si>
    <t xml:space="preserve">התקנה עם מתקן</t>
  </si>
  <si>
    <t xml:space="preserve">הובלה תל אביב</t>
  </si>
  <si>
    <t xml:space="preserve">סה"כ אלס (גלובלי, כולל חומר ומע"מ)</t>
  </si>
  <si>
    <r>
      <rPr>
        <sz val="11"/>
        <color theme="1"/>
        <rFont val="FreeSans"/>
        <family val="2"/>
      </rPr>
      <t xml:space="preserve">עמלת </t>
    </r>
    <r>
      <rPr>
        <sz val="11"/>
        <color theme="1"/>
        <rFont val="Calibri"/>
        <family val="2"/>
        <charset val="1"/>
      </rPr>
      <t xml:space="preserve">Marble Art (</t>
    </r>
    <r>
      <rPr>
        <sz val="11"/>
        <color theme="1"/>
        <rFont val="FreeSans"/>
        <family val="2"/>
      </rPr>
      <t xml:space="preserve">קבוע</t>
    </r>
    <r>
      <rPr>
        <sz val="11"/>
        <color theme="1"/>
        <rFont val="Calibri"/>
        <family val="2"/>
        <charset val="1"/>
      </rPr>
      <t xml:space="preserve">)</t>
    </r>
  </si>
  <si>
    <t xml:space="preserve">מחיר לזיו (נשלח!) — כולל מע"מ</t>
  </si>
  <si>
    <t xml:space="preserve">כיור 2.95 — סופי: אלס ₪15,000 קומפלט · כל טרבלסי מכיסו (משלוח ארוז לסטודיו)</t>
  </si>
  <si>
    <r>
      <rPr>
        <sz val="11"/>
        <color theme="1"/>
        <rFont val="FreeSans"/>
        <family val="2"/>
      </rPr>
      <t xml:space="preserve">אלס — עבודה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תקורה</t>
    </r>
  </si>
  <si>
    <t xml:space="preserve">אלס — סיפון</t>
  </si>
  <si>
    <t xml:space="preserve">אלס — הרכבה על קיר</t>
  </si>
  <si>
    <r>
      <rPr>
        <sz val="11"/>
        <color theme="1"/>
        <rFont val="FreeSans"/>
        <family val="2"/>
      </rPr>
      <t xml:space="preserve">אלס — הובלה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טריילר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</t>
    </r>
  </si>
  <si>
    <t xml:space="preserve">לאמפ אלס (עלות אמת במנוע)</t>
  </si>
  <si>
    <r>
      <rPr>
        <sz val="11"/>
        <color theme="1"/>
        <rFont val="FreeSans"/>
        <family val="2"/>
      </rPr>
      <t xml:space="preserve">עמלת </t>
    </r>
    <r>
      <rPr>
        <sz val="11"/>
        <color theme="1"/>
        <rFont val="Calibri"/>
        <family val="2"/>
        <charset val="1"/>
      </rPr>
      <t xml:space="preserve">Marble Art 15%</t>
    </r>
  </si>
  <si>
    <r>
      <rPr>
        <sz val="11"/>
        <color theme="1"/>
        <rFont val="FreeSans"/>
        <family val="2"/>
      </rPr>
      <t xml:space="preserve">הצעת בסיס </t>
    </r>
    <r>
      <rPr>
        <sz val="11"/>
        <color theme="1"/>
        <rFont val="Calibri"/>
        <family val="2"/>
        <charset val="1"/>
      </rPr>
      <t xml:space="preserve">XYZ</t>
    </r>
  </si>
  <si>
    <t xml:space="preserve">פרמיית אמנות</t>
  </si>
  <si>
    <t xml:space="preserve">מחיר לזיו UVW (כולל מע"מ)</t>
  </si>
  <si>
    <r>
      <rPr>
        <sz val="11"/>
        <color theme="1"/>
        <rFont val="FreeSans"/>
        <family val="2"/>
      </rPr>
      <t xml:space="preserve">חלק אבשי בפרמיה </t>
    </r>
    <r>
      <rPr>
        <sz val="11"/>
        <color theme="1"/>
        <rFont val="Calibri"/>
        <family val="2"/>
        <charset val="1"/>
      </rPr>
      <t xml:space="preserve">(50%)</t>
    </r>
  </si>
  <si>
    <r>
      <rPr>
        <sz val="11"/>
        <color theme="1"/>
        <rFont val="FreeSans"/>
        <family val="2"/>
      </rPr>
      <t xml:space="preserve">בונוס אלס בפרמיה </t>
    </r>
    <r>
      <rPr>
        <sz val="11"/>
        <color theme="1"/>
        <rFont val="Calibri"/>
        <family val="2"/>
        <charset val="1"/>
      </rPr>
      <t xml:space="preserve">(50%)</t>
    </r>
  </si>
  <si>
    <t xml:space="preserve">רווח אבשי נטו (עמלה + פרמיה)</t>
  </si>
  <si>
    <r>
      <rPr>
        <sz val="11"/>
        <color theme="1"/>
        <rFont val="FreeSans"/>
        <family val="2"/>
      </rPr>
      <t xml:space="preserve">הכנסת אלס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לאמפ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בונוס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</si>
  <si>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אלס משלם לטרבלסי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פורצלן </t>
    </r>
    <r>
      <rPr>
        <sz val="11"/>
        <color theme="1"/>
        <rFont val="Calibri"/>
        <family val="2"/>
        <charset val="1"/>
      </rPr>
      <t xml:space="preserve">2,579 + </t>
    </r>
    <r>
      <rPr>
        <sz val="11"/>
        <color theme="1"/>
        <rFont val="FreeSans"/>
        <family val="2"/>
      </rPr>
      <t xml:space="preserve">עץ </t>
    </r>
    <r>
      <rPr>
        <sz val="11"/>
        <color theme="1"/>
        <rFont val="Calibri"/>
        <family val="2"/>
        <charset val="1"/>
      </rPr>
      <t xml:space="preserve">980 + </t>
    </r>
    <r>
      <rPr>
        <sz val="11"/>
        <color theme="1"/>
        <rFont val="FreeSans"/>
        <family val="2"/>
      </rPr>
      <t xml:space="preserve">הובלה </t>
    </r>
    <r>
      <rPr>
        <sz val="11"/>
        <color theme="1"/>
        <rFont val="Calibri"/>
        <family val="2"/>
        <charset val="1"/>
      </rPr>
      <t xml:space="preserve">350</t>
    </r>
  </si>
  <si>
    <t xml:space="preserve">אלס נטו</t>
  </si>
  <si>
    <t xml:space="preserve">הערה: מע"מ החומר מתקזז אצל אלס (עוסק מורשה) — לכן החישוב בנטו.</t>
  </si>
  <si>
    <t xml:space="preserve">שני כיורים לזיו — סיכום + הנחת לוגיסטיקה</t>
  </si>
  <si>
    <r>
      <rPr>
        <sz val="11"/>
        <color theme="1"/>
        <rFont val="FreeSans"/>
        <family val="2"/>
      </rPr>
      <t xml:space="preserve">כיור </t>
    </r>
    <r>
      <rPr>
        <sz val="11"/>
        <color theme="1"/>
        <rFont val="Calibri"/>
        <family val="2"/>
        <charset val="1"/>
      </rPr>
      <t xml:space="preserve">2.13 (</t>
    </r>
    <r>
      <rPr>
        <sz val="11"/>
        <color theme="1"/>
        <rFont val="FreeSans"/>
        <family val="2"/>
      </rPr>
      <t xml:space="preserve">נשלח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</si>
  <si>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כיור </t>
    </r>
    <r>
      <rPr>
        <sz val="11"/>
        <color theme="1"/>
        <rFont val="Calibri"/>
        <family val="2"/>
        <charset val="1"/>
      </rPr>
      <t xml:space="preserve">2.95 (</t>
    </r>
    <r>
      <rPr>
        <sz val="11"/>
        <color theme="1"/>
        <rFont val="FreeSans"/>
        <family val="2"/>
      </rPr>
      <t xml:space="preserve">סופי</t>
    </r>
    <r>
      <rPr>
        <sz val="11"/>
        <color theme="1"/>
        <rFont val="Calibri"/>
        <family val="2"/>
        <charset val="1"/>
      </rPr>
      <t xml:space="preserve">)</t>
    </r>
  </si>
  <si>
    <t xml:space="preserve">סה"כ שני כיורים</t>
  </si>
  <si>
    <t xml:space="preserve">הנחת לוגיסטיקה משותפת (טעונה אישור אלס — קווי ההובלה שלו):</t>
  </si>
  <si>
    <t xml:space="preserve">משאית טרבלסי אחת לשני הכיורים</t>
  </si>
  <si>
    <r>
      <rPr>
        <sz val="11"/>
        <color theme="1"/>
        <rFont val="FreeSans"/>
        <family val="2"/>
      </rPr>
      <t xml:space="preserve">טריילר אחד אלס→אתר 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</t>
    </r>
  </si>
  <si>
    <t xml:space="preserve">סה"כ הנחה</t>
  </si>
  <si>
    <t xml:space="preserve">סה"כ לזיו אחרי הנחה (כולל מע"מ)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</si>
</sst>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₪&quot;;\(#,##0&quot; ₪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FreeSans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9000</v>
      </c>
    </row>
    <row r="4" customFormat="false" ht="15" hidden="false" customHeight="false" outlineLevel="0" collapsed="false">
      <c r="A4" s="2" t="s">
        <v>2</v>
      </c>
      <c r="B4" s="3" t="n">
        <v>800</v>
      </c>
    </row>
    <row r="5" customFormat="false" ht="15" hidden="false" customHeight="false" outlineLevel="0" collapsed="false">
      <c r="A5" s="2" t="s">
        <v>3</v>
      </c>
      <c r="B5" s="3" t="n">
        <v>1000</v>
      </c>
    </row>
    <row r="6" customFormat="false" ht="15" hidden="false" customHeight="false" outlineLevel="0" collapsed="false">
      <c r="A6" s="2" t="s">
        <v>4</v>
      </c>
      <c r="B6" s="3" t="n">
        <v>1000</v>
      </c>
    </row>
    <row r="7" customFormat="false" ht="15" hidden="false" customHeight="false" outlineLevel="0" collapsed="false">
      <c r="A7" s="4" t="s">
        <v>5</v>
      </c>
      <c r="B7" s="5" t="n">
        <f aca="false">SUM(B3:B6)</f>
        <v>11800</v>
      </c>
    </row>
    <row r="8" customFormat="false" ht="15" hidden="false" customHeight="false" outlineLevel="0" collapsed="false">
      <c r="A8" s="2" t="s">
        <v>6</v>
      </c>
      <c r="B8" s="3" t="n">
        <v>1000</v>
      </c>
    </row>
    <row r="9" customFormat="false" ht="15" hidden="false" customHeight="false" outlineLevel="0" collapsed="false">
      <c r="A9" s="6" t="s">
        <v>7</v>
      </c>
      <c r="B9" s="7" t="n">
        <f aca="false">B7+B8</f>
        <v>12800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8" t="s">
        <v>8</v>
      </c>
    </row>
    <row r="3" customFormat="false" ht="15" hidden="false" customHeight="false" outlineLevel="0" collapsed="false">
      <c r="A3" s="2" t="s">
        <v>9</v>
      </c>
      <c r="B3" s="3" t="n">
        <v>12000</v>
      </c>
    </row>
    <row r="4" customFormat="false" ht="15" hidden="false" customHeight="false" outlineLevel="0" collapsed="false">
      <c r="A4" s="2" t="s">
        <v>10</v>
      </c>
      <c r="B4" s="3" t="n">
        <v>800</v>
      </c>
    </row>
    <row r="5" customFormat="false" ht="15" hidden="false" customHeight="false" outlineLevel="0" collapsed="false">
      <c r="A5" s="2" t="s">
        <v>11</v>
      </c>
      <c r="B5" s="3" t="n">
        <v>1000</v>
      </c>
    </row>
    <row r="6" customFormat="false" ht="15" hidden="false" customHeight="false" outlineLevel="0" collapsed="false">
      <c r="A6" s="2" t="s">
        <v>12</v>
      </c>
      <c r="B6" s="3" t="n">
        <v>1200</v>
      </c>
    </row>
    <row r="7" customFormat="false" ht="15" hidden="false" customHeight="false" outlineLevel="0" collapsed="false">
      <c r="A7" s="4" t="s">
        <v>13</v>
      </c>
      <c r="B7" s="5" t="n">
        <f aca="false">SUM(B3:B6)</f>
        <v>15000</v>
      </c>
    </row>
    <row r="8" customFormat="false" ht="15" hidden="false" customHeight="false" outlineLevel="0" collapsed="false">
      <c r="A8" s="2" t="s">
        <v>14</v>
      </c>
      <c r="B8" s="9" t="n">
        <f aca="false">B7*0.15</f>
        <v>2250</v>
      </c>
    </row>
    <row r="9" customFormat="false" ht="15" hidden="false" customHeight="false" outlineLevel="0" collapsed="false">
      <c r="A9" s="2" t="s">
        <v>15</v>
      </c>
      <c r="B9" s="9" t="n">
        <f aca="false">B7+B8</f>
        <v>17250</v>
      </c>
    </row>
    <row r="10" customFormat="false" ht="15" hidden="false" customHeight="false" outlineLevel="0" collapsed="false">
      <c r="A10" s="2" t="s">
        <v>16</v>
      </c>
      <c r="B10" s="3" t="n">
        <v>3733</v>
      </c>
    </row>
    <row r="11" customFormat="false" ht="15" hidden="false" customHeight="false" outlineLevel="0" collapsed="false">
      <c r="A11" s="6" t="s">
        <v>17</v>
      </c>
      <c r="B11" s="7" t="n">
        <f aca="false">B9+B10</f>
        <v>20983</v>
      </c>
    </row>
    <row r="12" customFormat="false" ht="15" hidden="false" customHeight="false" outlineLevel="0" collapsed="false">
      <c r="A12" s="2" t="s">
        <v>18</v>
      </c>
      <c r="B12" s="9" t="n">
        <f aca="false">B10/2</f>
        <v>1866.5</v>
      </c>
    </row>
    <row r="13" customFormat="false" ht="15" hidden="false" customHeight="false" outlineLevel="0" collapsed="false">
      <c r="A13" s="2" t="s">
        <v>19</v>
      </c>
      <c r="B13" s="9" t="n">
        <f aca="false">B10/2</f>
        <v>1866.5</v>
      </c>
    </row>
    <row r="14" customFormat="false" ht="15" hidden="false" customHeight="false" outlineLevel="0" collapsed="false">
      <c r="A14" s="10" t="s">
        <v>20</v>
      </c>
      <c r="B14" s="11" t="n">
        <f aca="false">B8+B12</f>
        <v>4116.5</v>
      </c>
    </row>
    <row r="15" customFormat="false" ht="15" hidden="false" customHeight="false" outlineLevel="0" collapsed="false">
      <c r="A15" s="2" t="s">
        <v>21</v>
      </c>
      <c r="B15" s="9" t="n">
        <f aca="false">B7+B13</f>
        <v>16866.5</v>
      </c>
    </row>
    <row r="16" customFormat="false" ht="15" hidden="false" customHeight="false" outlineLevel="0" collapsed="false">
      <c r="A16" s="2" t="s">
        <v>22</v>
      </c>
      <c r="B16" s="3" t="n">
        <v>3909</v>
      </c>
    </row>
    <row r="17" customFormat="false" ht="15" hidden="false" customHeight="false" outlineLevel="0" collapsed="false">
      <c r="A17" s="10" t="s">
        <v>23</v>
      </c>
      <c r="B17" s="11" t="n">
        <f aca="false">B15-B16</f>
        <v>12957.5</v>
      </c>
    </row>
    <row r="19" customFormat="false" ht="15" hidden="false" customHeight="false" outlineLevel="0" collapsed="false">
      <c r="A19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</cols>
  <sheetData>
    <row r="1" customFormat="false" ht="17.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  <c r="B3" s="13" t="n">
        <f aca="false">'213 - סגור'!B9</f>
        <v>12800</v>
      </c>
    </row>
    <row r="4" customFormat="false" ht="15" hidden="false" customHeight="false" outlineLevel="0" collapsed="false">
      <c r="A4" s="2" t="s">
        <v>27</v>
      </c>
      <c r="B4" s="13" t="n">
        <f aca="false">'295 - סופי'!B11</f>
        <v>20983</v>
      </c>
    </row>
    <row r="5" customFormat="false" ht="15" hidden="false" customHeight="false" outlineLevel="0" collapsed="false">
      <c r="A5" s="4" t="s">
        <v>28</v>
      </c>
      <c r="B5" s="5" t="n">
        <f aca="false">B3+B4</f>
        <v>33783</v>
      </c>
    </row>
    <row r="7" customFormat="false" ht="15" hidden="false" customHeight="false" outlineLevel="0" collapsed="false">
      <c r="A7" s="4" t="s">
        <v>29</v>
      </c>
    </row>
    <row r="8" customFormat="false" ht="15" hidden="false" customHeight="false" outlineLevel="0" collapsed="false">
      <c r="A8" s="2" t="s">
        <v>30</v>
      </c>
      <c r="B8" s="3" t="n">
        <v>350</v>
      </c>
    </row>
    <row r="9" customFormat="false" ht="15" hidden="false" customHeight="false" outlineLevel="0" collapsed="false">
      <c r="A9" s="2" t="s">
        <v>31</v>
      </c>
      <c r="B9" s="3" t="n">
        <v>1000</v>
      </c>
    </row>
    <row r="10" customFormat="false" ht="15" hidden="false" customHeight="false" outlineLevel="0" collapsed="false">
      <c r="A10" s="4" t="s">
        <v>32</v>
      </c>
      <c r="B10" s="5" t="n">
        <f aca="false">B8+B9</f>
        <v>1350</v>
      </c>
    </row>
    <row r="11" customFormat="false" ht="15" hidden="false" customHeight="false" outlineLevel="0" collapsed="false">
      <c r="A11" s="6" t="s">
        <v>33</v>
      </c>
      <c r="B11" s="14" t="n">
        <f aca="false">B5-B10</f>
        <v>32433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2026-07-05T08:35:50Z</dcterms:created>
  <dc:creator>openpyxl</dc:creator>
  <dc:description/>
  <dc:language>en-US</dc:language>
  <cp:lastModifiedBy/>
  <dcterms:modified xsi:type="dcterms:W3CDTF">2026-07-05T08:35:50Z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